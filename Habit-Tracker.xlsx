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CD7A1A0-586E-4BDE-B0C2-6AFD0AFB5CAE}" xr6:coauthVersionLast="47" xr6:coauthVersionMax="47" xr10:uidLastSave="{00000000-0000-0000-0000-000000000000}"/>
  <bookViews>
    <workbookView xWindow="-108" yWindow="-108" windowWidth="23256" windowHeight="12456" xr2:uid="{88E47E7B-170F-4977-A8FA-44CA7CCD7AD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1" l="1"/>
  <c r="L24" i="1"/>
  <c r="L25" i="1"/>
  <c r="L26" i="1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F32" i="2"/>
  <c r="G31" i="2"/>
  <c r="F31" i="2"/>
  <c r="G30" i="2"/>
  <c r="F30" i="2"/>
  <c r="F29" i="2"/>
  <c r="F28" i="2"/>
  <c r="G27" i="2"/>
  <c r="F27" i="2"/>
  <c r="G26" i="2"/>
  <c r="F26" i="2"/>
  <c r="F25" i="2"/>
  <c r="F24" i="2"/>
  <c r="G23" i="2"/>
  <c r="F23" i="2"/>
  <c r="G22" i="2"/>
  <c r="F22" i="2"/>
  <c r="F21" i="2"/>
  <c r="F20" i="2"/>
  <c r="G19" i="2"/>
  <c r="F19" i="2"/>
  <c r="G18" i="2"/>
  <c r="F18" i="2"/>
  <c r="F17" i="2"/>
  <c r="F16" i="2"/>
  <c r="G15" i="2"/>
  <c r="F15" i="2"/>
  <c r="G14" i="2"/>
  <c r="F14" i="2"/>
  <c r="F13" i="2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2" i="1"/>
  <c r="H2" i="1" s="1"/>
  <c r="G29" i="2" l="1"/>
  <c r="G13" i="2"/>
  <c r="G17" i="2"/>
  <c r="G21" i="2"/>
  <c r="G25" i="2"/>
  <c r="G16" i="2"/>
  <c r="G20" i="2"/>
  <c r="G24" i="2"/>
  <c r="G28" i="2"/>
  <c r="G32" i="2"/>
</calcChain>
</file>

<file path=xl/sharedStrings.xml><?xml version="1.0" encoding="utf-8"?>
<sst xmlns="http://schemas.openxmlformats.org/spreadsheetml/2006/main" count="34" uniqueCount="20">
  <si>
    <t>Date</t>
  </si>
  <si>
    <t>Study</t>
  </si>
  <si>
    <t>Exercise</t>
  </si>
  <si>
    <t>Reading</t>
  </si>
  <si>
    <t>Coding</t>
  </si>
  <si>
    <t>Total Done</t>
  </si>
  <si>
    <t>Progress %</t>
  </si>
  <si>
    <t>Column1</t>
  </si>
  <si>
    <t>Column2</t>
  </si>
  <si>
    <t>Column3</t>
  </si>
  <si>
    <t>Column4</t>
  </si>
  <si>
    <t>Column5</t>
  </si>
  <si>
    <t>Column6</t>
  </si>
  <si>
    <t>Column7</t>
  </si>
  <si>
    <t>Metric</t>
  </si>
  <si>
    <t>Value</t>
  </si>
  <si>
    <t>Total Days</t>
  </si>
  <si>
    <t>Total Habits Done</t>
  </si>
  <si>
    <t>Completion%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</si>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</sst>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rgb="FFD9E1F2"/>
      </patternFill>
    </fill>
    <fill>
      <patternFill patternType="solid">
        <fgColor rgb="FFC6E0B4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8696B"/>
        <bgColor rgb="FFD9E1F2"/>
      </patternFill>
    </fill>
    <fill>
      <patternFill patternType="solid">
        <fgColor rgb="FFFCFCFF"/>
        <bgColor rgb="FFD9E1F2"/>
      </patternFill>
    </fill>
    <fill>
      <patternFill patternType="solid">
        <fgColor rgb="FFCAE8D4"/>
        <bgColor rgb="FFD9E1F2"/>
      </patternFill>
    </fill>
    <fill>
      <patternFill patternType="solid">
        <fgColor rgb="FFAA7050"/>
        <bgColor rgb="FFD9E1F2"/>
      </patternFill>
    </fill>
    <fill>
      <patternFill patternType="solid">
        <fgColor rgb="FFFCFCFF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97D3A8"/>
        <bgColor rgb="FF000000"/>
      </patternFill>
    </fill>
    <fill>
      <patternFill patternType="solid">
        <fgColor rgb="FF559050"/>
        <bgColor rgb="FF000000"/>
      </patternFill>
    </fill>
    <fill>
      <patternFill patternType="solid">
        <fgColor rgb="FF63BE7B"/>
        <bgColor rgb="FFD9E1F2"/>
      </patternFill>
    </fill>
    <fill>
      <patternFill patternType="solid">
        <fgColor rgb="FF00B050"/>
        <bgColor rgb="FFD9E1F2"/>
      </patternFill>
    </fill>
    <fill>
      <patternFill patternType="solid">
        <fgColor rgb="FFCAE8D4"/>
        <bgColor rgb="FF000000"/>
      </patternFill>
    </fill>
    <fill>
      <patternFill patternType="solid">
        <fgColor rgb="FFAA7050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rgb="FF97D3A8"/>
        <bgColor rgb="FFD9E1F2"/>
      </patternFill>
    </fill>
    <fill>
      <patternFill patternType="solid">
        <fgColor rgb="FF559050"/>
        <bgColor rgb="FFD9E1F2"/>
      </patternFill>
    </fill>
    <fill>
      <patternFill patternType="solid">
        <fgColor rgb="FF63BE7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5050"/>
        <bgColor rgb="FFD9E1F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0" applyFont="1"/>
    <xf numFmtId="0" fontId="3" fillId="3" borderId="0" xfId="0" applyFont="1" applyFill="1"/>
    <xf numFmtId="14" fontId="4" fillId="4" borderId="0" xfId="0" applyNumberFormat="1" applyFont="1" applyFill="1"/>
    <xf numFmtId="9" fontId="3" fillId="3" borderId="0" xfId="1" applyFont="1" applyFill="1"/>
    <xf numFmtId="9" fontId="4" fillId="0" borderId="0" xfId="1" applyFont="1"/>
    <xf numFmtId="0" fontId="4" fillId="0" borderId="1" xfId="0" applyFont="1" applyBorder="1"/>
    <xf numFmtId="0" fontId="4" fillId="6" borderId="1" xfId="0" applyFont="1" applyFill="1" applyBorder="1"/>
    <xf numFmtId="0" fontId="4" fillId="2" borderId="1" xfId="0" applyFont="1" applyFill="1" applyBorder="1"/>
    <xf numFmtId="0" fontId="3" fillId="3" borderId="1" xfId="0" applyFont="1" applyFill="1" applyBorder="1"/>
    <xf numFmtId="14" fontId="4" fillId="4" borderId="1" xfId="0" applyNumberFormat="1" applyFont="1" applyFill="1" applyBorder="1"/>
    <xf numFmtId="0" fontId="4" fillId="5" borderId="1" xfId="0" applyFont="1" applyFill="1" applyBorder="1"/>
    <xf numFmtId="0" fontId="0" fillId="6" borderId="1" xfId="0" applyFill="1" applyBorder="1"/>
    <xf numFmtId="9" fontId="4" fillId="2" borderId="3" xfId="1" applyFont="1" applyFill="1" applyBorder="1"/>
    <xf numFmtId="9" fontId="4" fillId="0" borderId="3" xfId="1" applyFont="1" applyBorder="1"/>
    <xf numFmtId="0" fontId="3" fillId="3" borderId="5" xfId="0" applyFont="1" applyFill="1" applyBorder="1"/>
    <xf numFmtId="9" fontId="3" fillId="3" borderId="6" xfId="1" applyFont="1" applyFill="1" applyBorder="1"/>
    <xf numFmtId="0" fontId="4" fillId="2" borderId="8" xfId="0" applyFont="1" applyFill="1" applyBorder="1"/>
    <xf numFmtId="9" fontId="4" fillId="2" borderId="9" xfId="1" applyFont="1" applyFill="1" applyBorder="1"/>
    <xf numFmtId="0" fontId="3" fillId="7" borderId="1" xfId="0" applyFont="1" applyFill="1" applyBorder="1"/>
    <xf numFmtId="9" fontId="3" fillId="7" borderId="1" xfId="0" applyNumberFormat="1" applyFont="1" applyFill="1" applyBorder="1"/>
    <xf numFmtId="14" fontId="4" fillId="8" borderId="1" xfId="0" applyNumberFormat="1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9" fontId="4" fillId="12" borderId="1" xfId="0" applyNumberFormat="1" applyFont="1" applyFill="1" applyBorder="1"/>
    <xf numFmtId="0" fontId="4" fillId="13" borderId="1" xfId="0" applyFont="1" applyFill="1" applyBorder="1"/>
    <xf numFmtId="0" fontId="4" fillId="14" borderId="1" xfId="0" applyFont="1" applyFill="1" applyBorder="1"/>
    <xf numFmtId="0" fontId="4" fillId="15" borderId="1" xfId="0" applyFont="1" applyFill="1" applyBorder="1"/>
    <xf numFmtId="9" fontId="4" fillId="16" borderId="1" xfId="0" applyNumberFormat="1" applyFont="1" applyFill="1" applyBorder="1"/>
    <xf numFmtId="0" fontId="4" fillId="17" borderId="1" xfId="0" applyFont="1" applyFill="1" applyBorder="1"/>
    <xf numFmtId="9" fontId="4" fillId="18" borderId="1" xfId="0" applyNumberFormat="1" applyFont="1" applyFill="1" applyBorder="1"/>
    <xf numFmtId="0" fontId="4" fillId="19" borderId="1" xfId="0" applyFont="1" applyFill="1" applyBorder="1"/>
    <xf numFmtId="9" fontId="4" fillId="20" borderId="1" xfId="0" applyNumberFormat="1" applyFont="1" applyFill="1" applyBorder="1"/>
    <xf numFmtId="9" fontId="4" fillId="21" borderId="1" xfId="0" applyNumberFormat="1" applyFont="1" applyFill="1" applyBorder="1"/>
    <xf numFmtId="0" fontId="4" fillId="22" borderId="1" xfId="0" applyFont="1" applyFill="1" applyBorder="1"/>
    <xf numFmtId="9" fontId="4" fillId="23" borderId="1" xfId="0" applyNumberFormat="1" applyFont="1" applyFill="1" applyBorder="1"/>
    <xf numFmtId="0" fontId="4" fillId="24" borderId="1" xfId="0" applyFont="1" applyFill="1" applyBorder="1"/>
    <xf numFmtId="9" fontId="4" fillId="25" borderId="1" xfId="0" applyNumberFormat="1" applyFont="1" applyFill="1" applyBorder="1"/>
    <xf numFmtId="9" fontId="4" fillId="26" borderId="1" xfId="0" applyNumberFormat="1" applyFont="1" applyFill="1" applyBorder="1"/>
    <xf numFmtId="0" fontId="5" fillId="9" borderId="1" xfId="0" applyFont="1" applyFill="1" applyBorder="1"/>
    <xf numFmtId="0" fontId="2" fillId="0" borderId="4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9" fontId="2" fillId="0" borderId="9" xfId="0" applyNumberFormat="1" applyFont="1" applyBorder="1"/>
  </cellXfs>
  <cellStyles count="2">
    <cellStyle name="Normal" xfId="0" builtinId="0"/>
    <cellStyle name="Percent" xfId="1" builtinId="5"/>
  </cellStyles>
  <dxfs count="2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border>
        <bottom style="thin">
          <color indexed="64"/>
        </bottom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647594192116746"/>
          <c:y val="3.6649222214045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Study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Sheet1!$B$2:$B$32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Sheet1!$C$2:$C$32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6-4EF6-9E72-A79E1F3197D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Exercise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Sheet1!$B$2:$B$32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Sheet1!$D$2:$D$32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6-4EF6-9E72-A79E1F3197DB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Reading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Sheet1!$B$2:$B$32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Sheet1!$E$2:$E$32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6-4EF6-9E72-A79E1F3197DB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Coding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Sheet1!$B$2:$B$32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Sheet1!$F$2:$F$32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56-4EF6-9E72-A79E1F3197DB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Total Done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Sheet1!$B$2:$B$32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Sheet1!$G$2:$G$32</c:f>
              <c:numCache>
                <c:formatCode>General</c:formatCode>
                <c:ptCount val="3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56-4EF6-9E72-A79E1F3197DB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Progress 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Sheet1!$B$2:$B$32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Sheet1!$H$2:$H$32</c:f>
              <c:numCache>
                <c:formatCode>0%</c:formatCode>
                <c:ptCount val="31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0.5</c:v>
                </c:pt>
                <c:pt idx="4">
                  <c:v>1</c:v>
                </c:pt>
                <c:pt idx="5">
                  <c:v>0.25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1</c:v>
                </c:pt>
                <c:pt idx="13">
                  <c:v>0.5</c:v>
                </c:pt>
                <c:pt idx="14">
                  <c:v>0.25</c:v>
                </c:pt>
                <c:pt idx="15">
                  <c:v>0.25</c:v>
                </c:pt>
                <c:pt idx="16">
                  <c:v>0.75</c:v>
                </c:pt>
                <c:pt idx="17">
                  <c:v>0.25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0.75</c:v>
                </c:pt>
                <c:pt idx="23">
                  <c:v>0.75</c:v>
                </c:pt>
                <c:pt idx="24">
                  <c:v>0.5</c:v>
                </c:pt>
                <c:pt idx="25">
                  <c:v>0.5</c:v>
                </c:pt>
                <c:pt idx="26">
                  <c:v>0.75</c:v>
                </c:pt>
                <c:pt idx="27">
                  <c:v>0.75</c:v>
                </c:pt>
                <c:pt idx="28">
                  <c:v>0.25</c:v>
                </c:pt>
                <c:pt idx="29">
                  <c:v>0.5</c:v>
                </c:pt>
                <c:pt idx="3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56-4EF6-9E72-A79E1F319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1378623"/>
        <c:axId val="1491376959"/>
      </c:barChart>
      <c:dateAx>
        <c:axId val="14913786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376959"/>
        <c:crosses val="autoZero"/>
        <c:auto val="1"/>
        <c:lblOffset val="100"/>
        <c:baseTimeUnit val="days"/>
      </c:dateAx>
      <c:valAx>
        <c:axId val="149137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37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Performance</a:t>
            </a:r>
            <a:r>
              <a:rPr lang="en-IN" baseline="0"/>
              <a:t> Efficiency </a:t>
            </a:r>
            <a:endParaRPr lang="en-IN"/>
          </a:p>
        </c:rich>
      </c:tx>
      <c:layout>
        <c:manualLayout>
          <c:xMode val="edge"/>
          <c:yMode val="edge"/>
          <c:x val="0.21887713447914028"/>
          <c:y val="4.5370360446844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CE-468C-80D8-CA091579AACF}"/>
              </c:ext>
            </c:extLst>
          </c:dPt>
          <c:dPt>
            <c:idx val="1"/>
            <c:bubble3D val="0"/>
            <c:spPr>
              <a:solidFill>
                <a:srgbClr val="FF0000">
                  <a:alpha val="60000"/>
                </a:srgb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7CE-468C-80D8-CA091579A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Sheet1!$K$26:$K$27</c:f>
              <c:strCache>
                <c:ptCount val="2"/>
                <c:pt idx="0">
                  <c:v>Completion%</c:v>
                </c:pt>
                <c:pt idx="1">
                  <c:v>Remaining</c:v>
                </c:pt>
              </c:strCache>
            </c:strRef>
          </c:cat>
          <c:val>
            <c:numRef>
              <c:f>Sheet1!$L$26:$L$27</c:f>
              <c:numCache>
                <c:formatCode>0%</c:formatCode>
                <c:ptCount val="2"/>
                <c:pt idx="0">
                  <c:v>0.66935483870967738</c:v>
                </c:pt>
                <c:pt idx="1">
                  <c:v>0.33064516129032262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E-468C-80D8-CA091579AAC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283030</xdr:colOff>
      <xdr:row>2</xdr:row>
      <xdr:rowOff>65315</xdr:rowOff>
    </xdr:from>
    <xdr:to>
      <xdr:col>20</xdr:col>
      <xdr:colOff>283029</xdr:colOff>
      <xdr:row>13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76079B-3380-4298-A4BA-67A6B1984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370113</xdr:colOff>
      <xdr:row>15</xdr:row>
      <xdr:rowOff>108857</xdr:rowOff>
    </xdr:from>
    <xdr:to>
      <xdr:col>18</xdr:col>
      <xdr:colOff>424543</xdr:colOff>
      <xdr:row>27</xdr:row>
      <xdr:rowOff>141514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781A34-23E4-43CF-92B0-3D7A1CC46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416E41-D67F-438D-BD47-6A466C3DDFC0}" name="Table5" displayName="Table5" ref="B1:H32" totalsRowShown="0" headerRowDxfId="24" headerRowBorderDxfId="23" tableBorderDxfId="22" totalsRowBorderDxfId="21">
  <autoFilter ref="B1:H32" xr:uid="{7D416E41-D67F-438D-BD47-6A466C3DDFC0}"/>
  <tableColumns count="7">
    <tableColumn id="1" xr3:uid="{FF00D878-3E0B-420D-91C9-6A9459C7F5E8}" name="Date" dataDxfId="20"/>
    <tableColumn id="2" xr3:uid="{9BAADE70-383A-402E-B27F-8150BAEA28C2}" name="Study" dataDxfId="19"/>
    <tableColumn id="3" xr3:uid="{FC942D3C-37E0-43CA-89CB-2FB58DA21077}" name="Exercise"/>
    <tableColumn id="4" xr3:uid="{2713EE4C-73F7-4C06-9E6F-9B24EB13262C}" name="Reading"/>
    <tableColumn id="5" xr3:uid="{63C2FD8B-7018-4445-B00F-1853523C4B46}" name="Coding" dataDxfId="18"/>
    <tableColumn id="6" xr3:uid="{DC29A9A5-FD87-489E-B909-52C367CC0F53}" name="Total Done" dataDxfId="17">
      <calculatedColumnFormula>SUM(Sheet1!$C2:$F2)</calculatedColumnFormula>
    </tableColumn>
    <tableColumn id="7" xr3:uid="{E07A0D68-7F53-4998-968C-7EB0E90E4849}" name="Progress %" dataDxfId="16" dataCellStyle="Percent">
      <calculatedColumnFormula>Sheet1!$G2/4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D30587-CFB6-4778-92DA-C5E1FC583FA4}" name="Table6" displayName="Table6" ref="K23:L27" totalsRowShown="0" headerRowDxfId="15" dataDxfId="13" headerRowBorderDxfId="14" tableBorderDxfId="12" totalsRowBorderDxfId="11">
  <tableColumns count="2">
    <tableColumn id="1" xr3:uid="{D047A3A2-5EE5-419B-B3EB-D6BA930EAD46}" name="Metric" dataDxfId="10"/>
    <tableColumn id="2" xr3:uid="{993DA19B-E411-40C4-8C2B-597D222C157F}" name="Value" dataDxfId="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703507-D755-4062-B4C0-2EF14CF51DC5}" name="Table35" displayName="Table35" ref="A1:G43" totalsRowShown="0" headerRowDxfId="8" dataDxfId="7">
  <tableColumns count="7">
    <tableColumn id="1" xr3:uid="{9885D390-D4B3-4402-A2FE-F7ECB063644A}" name="Column1" dataDxfId="6"/>
    <tableColumn id="2" xr3:uid="{2C329F0D-6BE3-438E-8A90-7C46DE96775A}" name="Column2" dataDxfId="5"/>
    <tableColumn id="3" xr3:uid="{6698FA41-2D93-4AA6-80D0-24CC02A343CA}" name="Column3" dataDxfId="4"/>
    <tableColumn id="4" xr3:uid="{BC01EC7C-EB84-4929-A2FA-47464A6ECE47}" name="Column4" dataDxfId="3"/>
    <tableColumn id="5" xr3:uid="{68CAEB78-0B94-427E-A4D8-1AABD7F2F3B0}" name="Column5" dataDxfId="2"/>
    <tableColumn id="6" xr3:uid="{E6468A03-95D7-4EB8-BB47-C538BA7F5137}" name="Column6" dataDxfId="1">
      <calculatedColumnFormula>SUM(Table35[[#This Row],[Column2]:[Column5]])</calculatedColumnFormula>
    </tableColumn>
    <tableColumn id="7" xr3:uid="{DEB68E57-0CCE-4156-B285-1D6BBC951248}" name="Column7" dataDxfId="0">
      <calculatedColumnFormula>Table35[[#This Row],[Column6]]/4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DEB0-CEFC-44EE-B44F-EF88EE19C8FE}">
  <dimension ref="B1:L33"/>
  <sheetViews>
    <sheetView tabSelected="1" zoomScale="85" zoomScaleNormal="85" workbookViewId="0">
      <selection activeCell="K32" sqref="K32"/>
    </sheetView>
  </sheetViews>
  <sheetFormatPr defaultRowHeight="14.4" x14ac:dyDescent="0.3"/>
  <cols>
    <col min="2" max="2" width="11.77734375" customWidth="1"/>
    <col min="3" max="3" width="8.33203125" customWidth="1"/>
    <col min="4" max="4" width="9.5546875" customWidth="1"/>
    <col min="5" max="5" width="9.6640625" customWidth="1"/>
    <col min="7" max="7" width="12" customWidth="1"/>
    <col min="8" max="8" width="11.88671875" customWidth="1"/>
    <col min="11" max="12" width="18.109375" customWidth="1"/>
  </cols>
  <sheetData>
    <row r="1" spans="2:10" x14ac:dyDescent="0.3">
      <c r="B1" s="9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6" t="s">
        <v>6</v>
      </c>
    </row>
    <row r="2" spans="2:10" x14ac:dyDescent="0.3">
      <c r="B2" s="10">
        <v>46082</v>
      </c>
      <c r="C2" s="8">
        <v>0</v>
      </c>
      <c r="D2" s="8">
        <v>1</v>
      </c>
      <c r="E2" s="8">
        <v>1</v>
      </c>
      <c r="F2" s="8">
        <v>0</v>
      </c>
      <c r="G2" s="8">
        <f>SUM(Sheet1!$C2:$F2)</f>
        <v>2</v>
      </c>
      <c r="H2" s="13">
        <f>Sheet1!$G2/4</f>
        <v>0.5</v>
      </c>
      <c r="I2" s="1"/>
      <c r="J2" s="1"/>
    </row>
    <row r="3" spans="2:10" x14ac:dyDescent="0.3">
      <c r="B3" s="10">
        <v>46083</v>
      </c>
      <c r="C3" s="6">
        <v>1</v>
      </c>
      <c r="D3" s="6">
        <v>0</v>
      </c>
      <c r="E3" s="6">
        <v>1</v>
      </c>
      <c r="F3" s="6">
        <v>1</v>
      </c>
      <c r="G3" s="6">
        <f>SUM(Sheet1!$C3:$F3)</f>
        <v>3</v>
      </c>
      <c r="H3" s="14">
        <f>Sheet1!$G3/4</f>
        <v>0.75</v>
      </c>
      <c r="I3" s="1"/>
      <c r="J3" s="1"/>
    </row>
    <row r="4" spans="2:10" x14ac:dyDescent="0.3">
      <c r="B4" s="10">
        <v>46084</v>
      </c>
      <c r="C4" s="8">
        <v>1</v>
      </c>
      <c r="D4" s="8">
        <v>1</v>
      </c>
      <c r="E4" s="8">
        <v>1</v>
      </c>
      <c r="F4" s="8">
        <v>1</v>
      </c>
      <c r="G4" s="8">
        <f>SUM(Sheet1!$C4:$F4)</f>
        <v>4</v>
      </c>
      <c r="H4" s="13">
        <f>Sheet1!$G4/4</f>
        <v>1</v>
      </c>
      <c r="I4" s="1"/>
      <c r="J4" s="1"/>
    </row>
    <row r="5" spans="2:10" x14ac:dyDescent="0.3">
      <c r="B5" s="10">
        <v>46085</v>
      </c>
      <c r="C5" s="6">
        <v>0</v>
      </c>
      <c r="D5" s="6">
        <v>1</v>
      </c>
      <c r="E5" s="6">
        <v>1</v>
      </c>
      <c r="F5" s="6">
        <v>0</v>
      </c>
      <c r="G5" s="6">
        <f>SUM(Sheet1!$C5:$F5)</f>
        <v>2</v>
      </c>
      <c r="H5" s="14">
        <f>Sheet1!$G5/4</f>
        <v>0.5</v>
      </c>
      <c r="I5" s="1"/>
      <c r="J5" s="1"/>
    </row>
    <row r="6" spans="2:10" x14ac:dyDescent="0.3">
      <c r="B6" s="10">
        <v>46086</v>
      </c>
      <c r="C6" s="8">
        <v>1</v>
      </c>
      <c r="D6" s="8">
        <v>1</v>
      </c>
      <c r="E6" s="8">
        <v>1</v>
      </c>
      <c r="F6" s="8">
        <v>1</v>
      </c>
      <c r="G6" s="8">
        <f>SUM(Sheet1!$C6:$F6)</f>
        <v>4</v>
      </c>
      <c r="H6" s="13">
        <f>Sheet1!$G6/4</f>
        <v>1</v>
      </c>
      <c r="I6" s="1"/>
      <c r="J6" s="1"/>
    </row>
    <row r="7" spans="2:10" x14ac:dyDescent="0.3">
      <c r="B7" s="10">
        <v>46087</v>
      </c>
      <c r="C7" s="6">
        <v>0</v>
      </c>
      <c r="D7" s="6">
        <v>0</v>
      </c>
      <c r="E7" s="6">
        <v>1</v>
      </c>
      <c r="F7" s="6">
        <v>0</v>
      </c>
      <c r="G7" s="6">
        <f>SUM(Sheet1!$C7:$F7)</f>
        <v>1</v>
      </c>
      <c r="H7" s="14">
        <f>Sheet1!$G7/4</f>
        <v>0.25</v>
      </c>
      <c r="I7" s="1"/>
      <c r="J7" s="1"/>
    </row>
    <row r="8" spans="2:10" x14ac:dyDescent="0.3">
      <c r="B8" s="10">
        <v>46088</v>
      </c>
      <c r="C8" s="8">
        <v>1</v>
      </c>
      <c r="D8" s="8">
        <v>0</v>
      </c>
      <c r="E8" s="8">
        <v>1</v>
      </c>
      <c r="F8" s="8">
        <v>1</v>
      </c>
      <c r="G8" s="8">
        <f>SUM(Sheet1!$C8:$F8)</f>
        <v>3</v>
      </c>
      <c r="H8" s="13">
        <f>Sheet1!$G8/4</f>
        <v>0.75</v>
      </c>
      <c r="I8" s="1"/>
      <c r="J8" s="1"/>
    </row>
    <row r="9" spans="2:10" x14ac:dyDescent="0.3">
      <c r="B9" s="10">
        <v>46089</v>
      </c>
      <c r="C9" s="6">
        <v>1</v>
      </c>
      <c r="D9" s="6">
        <v>1</v>
      </c>
      <c r="E9" s="6">
        <v>0</v>
      </c>
      <c r="F9" s="6">
        <v>1</v>
      </c>
      <c r="G9" s="6">
        <f>SUM(Sheet1!$C9:$F9)</f>
        <v>3</v>
      </c>
      <c r="H9" s="14">
        <f>Sheet1!$G9/4</f>
        <v>0.75</v>
      </c>
      <c r="I9" s="1"/>
      <c r="J9" s="1"/>
    </row>
    <row r="10" spans="2:10" x14ac:dyDescent="0.3">
      <c r="B10" s="10">
        <v>46090</v>
      </c>
      <c r="C10" s="8">
        <v>1</v>
      </c>
      <c r="D10" s="8">
        <v>0</v>
      </c>
      <c r="E10" s="8">
        <v>1</v>
      </c>
      <c r="F10" s="8">
        <v>1</v>
      </c>
      <c r="G10" s="8">
        <f>SUM(Sheet1!$C10:$F10)</f>
        <v>3</v>
      </c>
      <c r="H10" s="13">
        <f>Sheet1!$G10/4</f>
        <v>0.75</v>
      </c>
      <c r="I10" s="1"/>
      <c r="J10" s="1"/>
    </row>
    <row r="11" spans="2:10" x14ac:dyDescent="0.3">
      <c r="B11" s="10">
        <v>46091</v>
      </c>
      <c r="C11" s="6">
        <v>1</v>
      </c>
      <c r="D11" s="6">
        <v>1</v>
      </c>
      <c r="E11" s="6">
        <v>1</v>
      </c>
      <c r="F11" s="6">
        <v>1</v>
      </c>
      <c r="G11" s="6">
        <f>SUM(Sheet1!$C11:$F11)</f>
        <v>4</v>
      </c>
      <c r="H11" s="14">
        <f>Sheet1!$G11/4</f>
        <v>1</v>
      </c>
      <c r="I11" s="1"/>
      <c r="J11" s="1"/>
    </row>
    <row r="12" spans="2:10" x14ac:dyDescent="0.3">
      <c r="B12" s="10">
        <v>46092</v>
      </c>
      <c r="C12" s="8">
        <v>1</v>
      </c>
      <c r="D12" s="8">
        <v>0</v>
      </c>
      <c r="E12" s="8">
        <v>1</v>
      </c>
      <c r="F12" s="8">
        <v>1</v>
      </c>
      <c r="G12" s="8">
        <f>SUM(Sheet1!$C12:$F12)</f>
        <v>3</v>
      </c>
      <c r="H12" s="13">
        <f>Sheet1!$G12/4</f>
        <v>0.75</v>
      </c>
      <c r="I12" s="1"/>
      <c r="J12" s="1"/>
    </row>
    <row r="13" spans="2:10" x14ac:dyDescent="0.3">
      <c r="B13" s="10">
        <v>46093</v>
      </c>
      <c r="C13" s="6">
        <v>0</v>
      </c>
      <c r="D13" s="6">
        <v>1</v>
      </c>
      <c r="E13" s="6">
        <v>1</v>
      </c>
      <c r="F13" s="6">
        <v>0</v>
      </c>
      <c r="G13" s="6">
        <f>SUM(Sheet1!$C13:$F13)</f>
        <v>2</v>
      </c>
      <c r="H13" s="14">
        <f>Sheet1!$G13/4</f>
        <v>0.5</v>
      </c>
      <c r="I13" s="1"/>
      <c r="J13" s="1"/>
    </row>
    <row r="14" spans="2:10" x14ac:dyDescent="0.3">
      <c r="B14" s="10">
        <v>46094</v>
      </c>
      <c r="C14" s="8">
        <v>1</v>
      </c>
      <c r="D14" s="8">
        <v>1</v>
      </c>
      <c r="E14" s="8">
        <v>1</v>
      </c>
      <c r="F14" s="8">
        <v>1</v>
      </c>
      <c r="G14" s="8">
        <f>SUM(Sheet1!$C14:$F14)</f>
        <v>4</v>
      </c>
      <c r="H14" s="13">
        <f>Sheet1!$G14/4</f>
        <v>1</v>
      </c>
      <c r="I14" s="1"/>
      <c r="J14" s="1"/>
    </row>
    <row r="15" spans="2:10" x14ac:dyDescent="0.3">
      <c r="B15" s="10">
        <v>46095</v>
      </c>
      <c r="C15" s="6">
        <v>0</v>
      </c>
      <c r="D15" s="6">
        <v>1</v>
      </c>
      <c r="E15" s="6">
        <v>1</v>
      </c>
      <c r="F15" s="6">
        <v>0</v>
      </c>
      <c r="G15" s="6">
        <f>SUM(Sheet1!$C15:$F15)</f>
        <v>2</v>
      </c>
      <c r="H15" s="14">
        <f>Sheet1!$G15/4</f>
        <v>0.5</v>
      </c>
      <c r="I15" s="1"/>
      <c r="J15" s="1"/>
    </row>
    <row r="16" spans="2:10" x14ac:dyDescent="0.3">
      <c r="B16" s="10">
        <v>46096</v>
      </c>
      <c r="C16" s="8">
        <v>0</v>
      </c>
      <c r="D16" s="8">
        <v>0</v>
      </c>
      <c r="E16" s="8">
        <v>1</v>
      </c>
      <c r="F16" s="8">
        <v>0</v>
      </c>
      <c r="G16" s="8">
        <f>SUM(Sheet1!$C16:$F16)</f>
        <v>1</v>
      </c>
      <c r="H16" s="13">
        <f>Sheet1!$G16/4</f>
        <v>0.25</v>
      </c>
      <c r="I16" s="1"/>
      <c r="J16" s="1"/>
    </row>
    <row r="17" spans="2:12" x14ac:dyDescent="0.3">
      <c r="B17" s="10">
        <v>46097</v>
      </c>
      <c r="C17" s="6">
        <v>0</v>
      </c>
      <c r="D17" s="6">
        <v>0</v>
      </c>
      <c r="E17" s="6">
        <v>1</v>
      </c>
      <c r="F17" s="6">
        <v>0</v>
      </c>
      <c r="G17" s="6">
        <f>SUM(Sheet1!$C17:$F17)</f>
        <v>1</v>
      </c>
      <c r="H17" s="14">
        <f>Sheet1!$G17/4</f>
        <v>0.25</v>
      </c>
      <c r="I17" s="1"/>
      <c r="J17" s="1"/>
    </row>
    <row r="18" spans="2:12" x14ac:dyDescent="0.3">
      <c r="B18" s="10">
        <v>46098</v>
      </c>
      <c r="C18" s="8">
        <v>1</v>
      </c>
      <c r="D18" s="8">
        <v>1</v>
      </c>
      <c r="E18" s="8">
        <v>0</v>
      </c>
      <c r="F18" s="8">
        <v>1</v>
      </c>
      <c r="G18" s="8">
        <f>SUM(Sheet1!$C18:$F18)</f>
        <v>3</v>
      </c>
      <c r="H18" s="13">
        <f>Sheet1!$G18/4</f>
        <v>0.75</v>
      </c>
      <c r="I18" s="1"/>
      <c r="J18" s="1"/>
    </row>
    <row r="19" spans="2:12" x14ac:dyDescent="0.3">
      <c r="B19" s="10">
        <v>46099</v>
      </c>
      <c r="C19" s="6">
        <v>0</v>
      </c>
      <c r="D19" s="6">
        <v>0</v>
      </c>
      <c r="E19" s="6">
        <v>1</v>
      </c>
      <c r="F19" s="6">
        <v>0</v>
      </c>
      <c r="G19" s="6">
        <f>SUM(Sheet1!$C19:$F19)</f>
        <v>1</v>
      </c>
      <c r="H19" s="14">
        <f>Sheet1!$G19/4</f>
        <v>0.25</v>
      </c>
      <c r="I19" s="1"/>
      <c r="J19" s="1"/>
    </row>
    <row r="20" spans="2:12" x14ac:dyDescent="0.3">
      <c r="B20" s="10">
        <v>46100</v>
      </c>
      <c r="C20" s="8">
        <v>1</v>
      </c>
      <c r="D20" s="11">
        <v>1</v>
      </c>
      <c r="E20" s="11">
        <v>1</v>
      </c>
      <c r="F20" s="8">
        <v>1</v>
      </c>
      <c r="G20" s="8">
        <f>SUM(Sheet1!$C20:$F20)</f>
        <v>4</v>
      </c>
      <c r="H20" s="13">
        <f>Sheet1!$G20/4</f>
        <v>1</v>
      </c>
      <c r="I20" s="1"/>
      <c r="J20" s="1"/>
    </row>
    <row r="21" spans="2:12" x14ac:dyDescent="0.3">
      <c r="B21" s="10">
        <v>46101</v>
      </c>
      <c r="C21" s="6">
        <v>1</v>
      </c>
      <c r="D21" s="6">
        <v>1</v>
      </c>
      <c r="E21" s="6">
        <v>1</v>
      </c>
      <c r="F21" s="6">
        <v>1</v>
      </c>
      <c r="G21" s="6">
        <f>SUM(Sheet1!$C21:$F21)</f>
        <v>4</v>
      </c>
      <c r="H21" s="14">
        <f>Sheet1!$G21/4</f>
        <v>1</v>
      </c>
      <c r="I21" s="1"/>
      <c r="J21" s="1"/>
    </row>
    <row r="22" spans="2:12" x14ac:dyDescent="0.3">
      <c r="B22" s="10">
        <v>46102</v>
      </c>
      <c r="C22" s="8">
        <v>1</v>
      </c>
      <c r="D22" s="11">
        <v>1</v>
      </c>
      <c r="E22" s="11">
        <v>1</v>
      </c>
      <c r="F22" s="8">
        <v>1</v>
      </c>
      <c r="G22" s="8">
        <f>SUM(Sheet1!$C22:$F22)</f>
        <v>4</v>
      </c>
      <c r="H22" s="13">
        <f>Sheet1!$G22/4</f>
        <v>1</v>
      </c>
      <c r="I22" s="1"/>
      <c r="J22" s="1"/>
    </row>
    <row r="23" spans="2:12" x14ac:dyDescent="0.3">
      <c r="B23" s="10">
        <v>46103</v>
      </c>
      <c r="C23" s="6">
        <v>1</v>
      </c>
      <c r="D23" s="6">
        <v>1</v>
      </c>
      <c r="E23" s="6">
        <v>1</v>
      </c>
      <c r="F23" s="6">
        <v>1</v>
      </c>
      <c r="G23" s="6">
        <f>SUM(Sheet1!$C23:$F23)</f>
        <v>4</v>
      </c>
      <c r="H23" s="14">
        <f>Sheet1!$G23/4</f>
        <v>1</v>
      </c>
      <c r="I23" s="1"/>
      <c r="J23" s="1"/>
      <c r="K23" s="41" t="s">
        <v>14</v>
      </c>
      <c r="L23" s="42" t="s">
        <v>15</v>
      </c>
    </row>
    <row r="24" spans="2:12" x14ac:dyDescent="0.3">
      <c r="B24" s="10">
        <v>46104</v>
      </c>
      <c r="C24" s="8">
        <v>0</v>
      </c>
      <c r="D24" s="11">
        <v>1</v>
      </c>
      <c r="E24" s="11">
        <v>1</v>
      </c>
      <c r="F24" s="8">
        <v>1</v>
      </c>
      <c r="G24" s="8">
        <f>SUM(Sheet1!$C24:$F24)</f>
        <v>3</v>
      </c>
      <c r="H24" s="13">
        <f>Sheet1!$G24/4</f>
        <v>0.75</v>
      </c>
      <c r="I24" s="1"/>
      <c r="J24" s="1"/>
      <c r="K24" s="43" t="s">
        <v>16</v>
      </c>
      <c r="L24" s="44">
        <f>COUNTA(Table5[Date])</f>
        <v>31</v>
      </c>
    </row>
    <row r="25" spans="2:12" x14ac:dyDescent="0.3">
      <c r="B25" s="10">
        <v>46105</v>
      </c>
      <c r="C25" s="6">
        <v>1</v>
      </c>
      <c r="D25" s="6">
        <v>0</v>
      </c>
      <c r="E25" s="6">
        <v>1</v>
      </c>
      <c r="F25" s="6">
        <v>1</v>
      </c>
      <c r="G25" s="6">
        <f>SUM(Sheet1!$C25:$F25)</f>
        <v>3</v>
      </c>
      <c r="H25" s="14">
        <f>Sheet1!$G25/4</f>
        <v>0.75</v>
      </c>
      <c r="I25" s="1"/>
      <c r="J25" s="1"/>
      <c r="K25" s="43" t="s">
        <v>17</v>
      </c>
      <c r="L25" s="44">
        <f>SUM(Table5[Total Done])</f>
        <v>83</v>
      </c>
    </row>
    <row r="26" spans="2:12" x14ac:dyDescent="0.3">
      <c r="B26" s="10">
        <v>46106</v>
      </c>
      <c r="C26" s="8">
        <v>0</v>
      </c>
      <c r="D26" s="11">
        <v>0</v>
      </c>
      <c r="E26" s="11">
        <v>1</v>
      </c>
      <c r="F26" s="8">
        <v>1</v>
      </c>
      <c r="G26" s="8">
        <f>SUM(Sheet1!$C26:$F26)</f>
        <v>2</v>
      </c>
      <c r="H26" s="13">
        <f>Sheet1!$G26/4</f>
        <v>0.5</v>
      </c>
      <c r="K26" s="45" t="s">
        <v>18</v>
      </c>
      <c r="L26" s="46">
        <f>SUM(Table5[Total Done])/(4*COUNTA(Table5[Date]))</f>
        <v>0.66935483870967738</v>
      </c>
    </row>
    <row r="27" spans="2:12" x14ac:dyDescent="0.3">
      <c r="B27" s="10">
        <v>46107</v>
      </c>
      <c r="C27" s="6">
        <v>1</v>
      </c>
      <c r="D27" s="6">
        <v>1</v>
      </c>
      <c r="E27" s="6">
        <v>0</v>
      </c>
      <c r="F27" s="6">
        <v>0</v>
      </c>
      <c r="G27" s="6">
        <f>SUM(Sheet1!$C27:$F27)</f>
        <v>2</v>
      </c>
      <c r="H27" s="14">
        <f>Sheet1!$G27/4</f>
        <v>0.5</v>
      </c>
      <c r="K27" s="45" t="s">
        <v>19</v>
      </c>
      <c r="L27" s="46">
        <f>1-L26</f>
        <v>0.33064516129032262</v>
      </c>
    </row>
    <row r="28" spans="2:12" x14ac:dyDescent="0.3">
      <c r="B28" s="10">
        <v>46108</v>
      </c>
      <c r="C28" s="8">
        <v>1</v>
      </c>
      <c r="D28" s="11">
        <v>0</v>
      </c>
      <c r="E28" s="11">
        <v>1</v>
      </c>
      <c r="F28" s="8">
        <v>1</v>
      </c>
      <c r="G28" s="8">
        <f>SUM(Sheet1!$C28:$F28)</f>
        <v>3</v>
      </c>
      <c r="H28" s="13">
        <f>Sheet1!$G28/4</f>
        <v>0.75</v>
      </c>
    </row>
    <row r="29" spans="2:12" x14ac:dyDescent="0.3">
      <c r="B29" s="10">
        <v>46109</v>
      </c>
      <c r="C29" s="6">
        <v>1</v>
      </c>
      <c r="D29" s="7">
        <v>1</v>
      </c>
      <c r="E29" s="7">
        <v>0</v>
      </c>
      <c r="F29" s="6">
        <v>1</v>
      </c>
      <c r="G29" s="6">
        <f>SUM(Sheet1!$C29:$F29)</f>
        <v>3</v>
      </c>
      <c r="H29" s="14">
        <f>Sheet1!$G29/4</f>
        <v>0.75</v>
      </c>
    </row>
    <row r="30" spans="2:12" x14ac:dyDescent="0.3">
      <c r="B30" s="10">
        <v>46110</v>
      </c>
      <c r="C30" s="8">
        <v>0</v>
      </c>
      <c r="D30" s="8">
        <v>0</v>
      </c>
      <c r="E30" s="8">
        <v>1</v>
      </c>
      <c r="F30" s="8">
        <v>0</v>
      </c>
      <c r="G30" s="8">
        <f>SUM(Sheet1!$C30:$F30)</f>
        <v>1</v>
      </c>
      <c r="H30" s="13">
        <f>Sheet1!$G30/4</f>
        <v>0.25</v>
      </c>
    </row>
    <row r="31" spans="2:12" x14ac:dyDescent="0.3">
      <c r="B31" s="10">
        <v>46111</v>
      </c>
      <c r="C31" s="6">
        <v>1</v>
      </c>
      <c r="D31" s="12">
        <v>0</v>
      </c>
      <c r="E31" s="12">
        <v>0</v>
      </c>
      <c r="F31" s="6">
        <v>1</v>
      </c>
      <c r="G31" s="6">
        <f>SUM(Sheet1!$C31:$F31)</f>
        <v>2</v>
      </c>
      <c r="H31" s="14">
        <f>Sheet1!$G31/4</f>
        <v>0.5</v>
      </c>
    </row>
    <row r="32" spans="2:12" x14ac:dyDescent="0.3">
      <c r="B32" s="10">
        <v>46112</v>
      </c>
      <c r="C32" s="17">
        <v>0</v>
      </c>
      <c r="D32" s="17">
        <v>1</v>
      </c>
      <c r="E32" s="17">
        <v>1</v>
      </c>
      <c r="F32" s="17">
        <v>0</v>
      </c>
      <c r="G32" s="17">
        <f>SUM(Sheet1!$C32:$F32)</f>
        <v>2</v>
      </c>
      <c r="H32" s="18">
        <f>Sheet1!$G32/4</f>
        <v>0.5</v>
      </c>
    </row>
    <row r="33" spans="2:8" x14ac:dyDescent="0.3">
      <c r="B33" s="1"/>
      <c r="C33" s="1"/>
      <c r="D33" s="1"/>
      <c r="E33" s="1"/>
      <c r="F33" s="1"/>
      <c r="G33" s="1"/>
      <c r="H33" s="1"/>
    </row>
  </sheetData>
  <conditionalFormatting sqref="C2:H3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32">
    <cfRule type="colorScale" priority="4">
      <colorScale>
        <cfvo type="percent" val="0"/>
        <cfvo type="percent" val="100"/>
        <color rgb="FFFF5050"/>
        <color rgb="FF00B050"/>
      </colorScale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74DB-4494-4032-9861-E380C8C8E4D8}">
  <dimension ref="A1:R62"/>
  <sheetViews>
    <sheetView topLeftCell="A28" workbookViewId="0">
      <selection activeCell="T35" sqref="T35"/>
    </sheetView>
  </sheetViews>
  <sheetFormatPr defaultRowHeight="14.4" x14ac:dyDescent="0.3"/>
  <cols>
    <col min="1" max="1" width="10.33203125" bestFit="1" customWidth="1"/>
  </cols>
  <sheetData>
    <row r="1" spans="1:7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4" t="s">
        <v>13</v>
      </c>
    </row>
    <row r="2" spans="1:7" x14ac:dyDescent="0.3">
      <c r="A2" s="3"/>
      <c r="B2" s="1"/>
      <c r="C2" s="1"/>
      <c r="D2" s="1"/>
      <c r="E2" s="1"/>
      <c r="F2" s="1"/>
      <c r="G2" s="5"/>
    </row>
    <row r="3" spans="1:7" x14ac:dyDescent="0.3">
      <c r="A3" s="3"/>
      <c r="B3" s="1"/>
      <c r="C3" s="1"/>
      <c r="D3" s="1"/>
      <c r="E3" s="1"/>
      <c r="F3" s="1"/>
      <c r="G3" s="5"/>
    </row>
    <row r="4" spans="1:7" x14ac:dyDescent="0.3">
      <c r="A4" s="3"/>
      <c r="B4" s="1"/>
      <c r="C4" s="1"/>
      <c r="D4" s="1"/>
      <c r="E4" s="1"/>
      <c r="F4" s="1"/>
      <c r="G4" s="5"/>
    </row>
    <row r="5" spans="1:7" x14ac:dyDescent="0.3">
      <c r="A5" s="3"/>
      <c r="B5" s="1"/>
      <c r="C5" s="1"/>
      <c r="D5" s="1"/>
      <c r="E5" s="1"/>
      <c r="F5" s="1"/>
      <c r="G5" s="5"/>
    </row>
    <row r="6" spans="1:7" x14ac:dyDescent="0.3">
      <c r="A6" s="3"/>
      <c r="B6" s="1"/>
      <c r="C6" s="1"/>
      <c r="D6" s="1"/>
      <c r="E6" s="1"/>
      <c r="F6" s="1"/>
      <c r="G6" s="5"/>
    </row>
    <row r="7" spans="1:7" x14ac:dyDescent="0.3">
      <c r="A7" s="3"/>
      <c r="B7" s="1"/>
      <c r="C7" s="1"/>
      <c r="D7" s="1"/>
      <c r="E7" s="1"/>
      <c r="F7" s="1"/>
      <c r="G7" s="5"/>
    </row>
    <row r="8" spans="1:7" x14ac:dyDescent="0.3">
      <c r="A8" s="3"/>
      <c r="B8" s="1"/>
      <c r="C8" s="1"/>
      <c r="D8" s="1"/>
      <c r="E8" s="1"/>
      <c r="F8" s="1"/>
      <c r="G8" s="5"/>
    </row>
    <row r="9" spans="1:7" x14ac:dyDescent="0.3">
      <c r="A9" s="3"/>
      <c r="B9" s="1"/>
      <c r="C9" s="1"/>
      <c r="D9" s="1"/>
      <c r="E9" s="1"/>
      <c r="F9" s="1"/>
      <c r="G9" s="5"/>
    </row>
    <row r="10" spans="1:7" x14ac:dyDescent="0.3">
      <c r="A10" s="3"/>
      <c r="B10" s="1"/>
      <c r="C10" s="1"/>
      <c r="D10" s="1"/>
      <c r="E10" s="1"/>
      <c r="F10" s="1"/>
      <c r="G10" s="5"/>
    </row>
    <row r="11" spans="1:7" x14ac:dyDescent="0.3">
      <c r="A11" s="3"/>
      <c r="B11" s="1"/>
      <c r="C11" s="1"/>
      <c r="D11" s="1"/>
      <c r="E11" s="1"/>
      <c r="F11" s="1"/>
      <c r="G11" s="5"/>
    </row>
    <row r="12" spans="1:7" x14ac:dyDescent="0.3">
      <c r="A12" s="9" t="s">
        <v>0</v>
      </c>
      <c r="B12" s="15" t="s">
        <v>1</v>
      </c>
      <c r="C12" s="15" t="s">
        <v>2</v>
      </c>
      <c r="D12" s="15" t="s">
        <v>3</v>
      </c>
      <c r="E12" s="15" t="s">
        <v>4</v>
      </c>
      <c r="F12" s="15" t="s">
        <v>5</v>
      </c>
      <c r="G12" s="16" t="s">
        <v>6</v>
      </c>
    </row>
    <row r="13" spans="1:7" x14ac:dyDescent="0.3">
      <c r="A13" s="10">
        <v>46082</v>
      </c>
      <c r="B13" s="8">
        <v>0</v>
      </c>
      <c r="C13" s="8">
        <v>1</v>
      </c>
      <c r="D13" s="8">
        <v>1</v>
      </c>
      <c r="E13" s="8">
        <v>0</v>
      </c>
      <c r="F13" s="8">
        <f>SUM(Sheet1!$C13:$F13)</f>
        <v>2</v>
      </c>
      <c r="G13" s="13">
        <f>Sheet1!$G13/4</f>
        <v>0.5</v>
      </c>
    </row>
    <row r="14" spans="1:7" x14ac:dyDescent="0.3">
      <c r="A14" s="10">
        <v>46083</v>
      </c>
      <c r="B14" s="6">
        <v>1</v>
      </c>
      <c r="C14" s="6">
        <v>0</v>
      </c>
      <c r="D14" s="6">
        <v>1</v>
      </c>
      <c r="E14" s="6">
        <v>1</v>
      </c>
      <c r="F14" s="6">
        <f>SUM(Sheet1!$C14:$F14)</f>
        <v>4</v>
      </c>
      <c r="G14" s="14">
        <f>Sheet1!$G14/4</f>
        <v>1</v>
      </c>
    </row>
    <row r="15" spans="1:7" x14ac:dyDescent="0.3">
      <c r="A15" s="10">
        <v>46084</v>
      </c>
      <c r="B15" s="8">
        <v>1</v>
      </c>
      <c r="C15" s="8">
        <v>1</v>
      </c>
      <c r="D15" s="8">
        <v>1</v>
      </c>
      <c r="E15" s="8">
        <v>1</v>
      </c>
      <c r="F15" s="8">
        <f>SUM(Sheet1!$C15:$F15)</f>
        <v>2</v>
      </c>
      <c r="G15" s="13">
        <f>Sheet1!$G15/4</f>
        <v>0.5</v>
      </c>
    </row>
    <row r="16" spans="1:7" x14ac:dyDescent="0.3">
      <c r="A16" s="10">
        <v>46085</v>
      </c>
      <c r="B16" s="6">
        <v>0</v>
      </c>
      <c r="C16" s="6">
        <v>1</v>
      </c>
      <c r="D16" s="6">
        <v>1</v>
      </c>
      <c r="E16" s="6">
        <v>0</v>
      </c>
      <c r="F16" s="6">
        <f>SUM(Sheet1!$C16:$F16)</f>
        <v>1</v>
      </c>
      <c r="G16" s="14">
        <f>Sheet1!$G16/4</f>
        <v>0.25</v>
      </c>
    </row>
    <row r="17" spans="1:18" x14ac:dyDescent="0.3">
      <c r="A17" s="10">
        <v>46086</v>
      </c>
      <c r="B17" s="8">
        <v>1</v>
      </c>
      <c r="C17" s="8">
        <v>1</v>
      </c>
      <c r="D17" s="8">
        <v>1</v>
      </c>
      <c r="E17" s="8">
        <v>1</v>
      </c>
      <c r="F17" s="8">
        <f>SUM(Sheet1!$C17:$F17)</f>
        <v>1</v>
      </c>
      <c r="G17" s="13">
        <f>Sheet1!$G17/4</f>
        <v>0.25</v>
      </c>
    </row>
    <row r="18" spans="1:18" x14ac:dyDescent="0.3">
      <c r="A18" s="10">
        <v>46087</v>
      </c>
      <c r="B18" s="6">
        <v>0</v>
      </c>
      <c r="C18" s="6">
        <v>0</v>
      </c>
      <c r="D18" s="6">
        <v>1</v>
      </c>
      <c r="E18" s="6">
        <v>0</v>
      </c>
      <c r="F18" s="6">
        <f>SUM(Sheet1!$C18:$F18)</f>
        <v>3</v>
      </c>
      <c r="G18" s="14">
        <f>Sheet1!$G18/4</f>
        <v>0.75</v>
      </c>
    </row>
    <row r="19" spans="1:18" x14ac:dyDescent="0.3">
      <c r="A19" s="10">
        <v>46088</v>
      </c>
      <c r="B19" s="8">
        <v>1</v>
      </c>
      <c r="C19" s="8">
        <v>0</v>
      </c>
      <c r="D19" s="8">
        <v>1</v>
      </c>
      <c r="E19" s="8">
        <v>1</v>
      </c>
      <c r="F19" s="8">
        <f>SUM(Sheet1!$C19:$F19)</f>
        <v>1</v>
      </c>
      <c r="G19" s="13">
        <f>Sheet1!$G19/4</f>
        <v>0.25</v>
      </c>
    </row>
    <row r="20" spans="1:18" x14ac:dyDescent="0.3">
      <c r="A20" s="10">
        <v>46089</v>
      </c>
      <c r="B20" s="6">
        <v>1</v>
      </c>
      <c r="C20" s="6">
        <v>1</v>
      </c>
      <c r="D20" s="6">
        <v>0</v>
      </c>
      <c r="E20" s="6">
        <v>1</v>
      </c>
      <c r="F20" s="6">
        <f>SUM(Sheet1!$C20:$F20)</f>
        <v>4</v>
      </c>
      <c r="G20" s="14">
        <f>Sheet1!$G20/4</f>
        <v>1</v>
      </c>
    </row>
    <row r="21" spans="1:18" x14ac:dyDescent="0.3">
      <c r="A21" s="10">
        <v>46090</v>
      </c>
      <c r="B21" s="8">
        <v>1</v>
      </c>
      <c r="C21" s="8">
        <v>0</v>
      </c>
      <c r="D21" s="8">
        <v>1</v>
      </c>
      <c r="E21" s="8">
        <v>1</v>
      </c>
      <c r="F21" s="8">
        <f>SUM(Sheet1!$C21:$F21)</f>
        <v>4</v>
      </c>
      <c r="G21" s="13">
        <f>Sheet1!$G21/4</f>
        <v>1</v>
      </c>
    </row>
    <row r="22" spans="1:18" x14ac:dyDescent="0.3">
      <c r="A22" s="10">
        <v>46091</v>
      </c>
      <c r="B22" s="6">
        <v>1</v>
      </c>
      <c r="C22" s="6">
        <v>1</v>
      </c>
      <c r="D22" s="6">
        <v>1</v>
      </c>
      <c r="E22" s="6">
        <v>1</v>
      </c>
      <c r="F22" s="6">
        <f>SUM(Sheet1!$C22:$F22)</f>
        <v>4</v>
      </c>
      <c r="G22" s="14">
        <f>Sheet1!$G22/4</f>
        <v>1</v>
      </c>
    </row>
    <row r="23" spans="1:18" x14ac:dyDescent="0.3">
      <c r="A23" s="10">
        <v>46092</v>
      </c>
      <c r="B23" s="8">
        <v>1</v>
      </c>
      <c r="C23" s="8">
        <v>0</v>
      </c>
      <c r="D23" s="8">
        <v>1</v>
      </c>
      <c r="E23" s="8">
        <v>1</v>
      </c>
      <c r="F23" s="8">
        <f>SUM(Sheet1!$C23:$F23)</f>
        <v>4</v>
      </c>
      <c r="G23" s="13">
        <f>Sheet1!$G23/4</f>
        <v>1</v>
      </c>
    </row>
    <row r="24" spans="1:18" x14ac:dyDescent="0.3">
      <c r="A24" s="10">
        <v>46093</v>
      </c>
      <c r="B24" s="6">
        <v>0</v>
      </c>
      <c r="C24" s="6">
        <v>1</v>
      </c>
      <c r="D24" s="6">
        <v>1</v>
      </c>
      <c r="E24" s="6">
        <v>0</v>
      </c>
      <c r="F24" s="6">
        <f>SUM(Sheet1!$C24:$F24)</f>
        <v>3</v>
      </c>
      <c r="G24" s="14">
        <f>Sheet1!$G24/4</f>
        <v>0.75</v>
      </c>
    </row>
    <row r="25" spans="1:18" x14ac:dyDescent="0.3">
      <c r="A25" s="10">
        <v>46094</v>
      </c>
      <c r="B25" s="8">
        <v>1</v>
      </c>
      <c r="C25" s="8">
        <v>1</v>
      </c>
      <c r="D25" s="8">
        <v>1</v>
      </c>
      <c r="E25" s="8">
        <v>1</v>
      </c>
      <c r="F25" s="8">
        <f>SUM(Sheet1!$C25:$F25)</f>
        <v>3</v>
      </c>
      <c r="G25" s="13">
        <f>Sheet1!$G25/4</f>
        <v>0.75</v>
      </c>
    </row>
    <row r="26" spans="1:18" x14ac:dyDescent="0.3">
      <c r="A26" s="10">
        <v>46095</v>
      </c>
      <c r="B26" s="6">
        <v>0</v>
      </c>
      <c r="C26" s="6">
        <v>1</v>
      </c>
      <c r="D26" s="6">
        <v>1</v>
      </c>
      <c r="E26" s="6">
        <v>0</v>
      </c>
      <c r="F26" s="6">
        <f>SUM(Sheet1!$C26:$F26)</f>
        <v>2</v>
      </c>
      <c r="G26" s="14">
        <f>Sheet1!$G26/4</f>
        <v>0.5</v>
      </c>
    </row>
    <row r="27" spans="1:18" x14ac:dyDescent="0.3">
      <c r="A27" s="10">
        <v>46096</v>
      </c>
      <c r="B27" s="8">
        <v>0</v>
      </c>
      <c r="C27" s="8">
        <v>0</v>
      </c>
      <c r="D27" s="8">
        <v>1</v>
      </c>
      <c r="E27" s="8">
        <v>0</v>
      </c>
      <c r="F27" s="8">
        <f>SUM(Sheet1!$C27:$F27)</f>
        <v>2</v>
      </c>
      <c r="G27" s="13">
        <f>Sheet1!$G27/4</f>
        <v>0.5</v>
      </c>
    </row>
    <row r="28" spans="1:18" x14ac:dyDescent="0.3">
      <c r="A28" s="10">
        <v>46097</v>
      </c>
      <c r="B28" s="6">
        <v>0</v>
      </c>
      <c r="C28" s="6">
        <v>0</v>
      </c>
      <c r="D28" s="6">
        <v>1</v>
      </c>
      <c r="E28" s="6">
        <v>0</v>
      </c>
      <c r="F28" s="6">
        <f>SUM(Sheet1!$C28:$F28)</f>
        <v>3</v>
      </c>
      <c r="G28" s="14">
        <f>Sheet1!$G28/4</f>
        <v>0.75</v>
      </c>
    </row>
    <row r="29" spans="1:18" x14ac:dyDescent="0.3">
      <c r="A29" s="10">
        <v>46098</v>
      </c>
      <c r="B29" s="8">
        <v>1</v>
      </c>
      <c r="C29" s="8">
        <v>1</v>
      </c>
      <c r="D29" s="8">
        <v>0</v>
      </c>
      <c r="E29" s="8">
        <v>1</v>
      </c>
      <c r="F29" s="8">
        <f>SUM(Sheet1!$C29:$F29)</f>
        <v>3</v>
      </c>
      <c r="G29" s="13">
        <f>Sheet1!$G29/4</f>
        <v>0.75</v>
      </c>
    </row>
    <row r="30" spans="1:18" x14ac:dyDescent="0.3">
      <c r="A30" s="10">
        <v>46099</v>
      </c>
      <c r="B30" s="6">
        <v>0</v>
      </c>
      <c r="C30" s="6">
        <v>0</v>
      </c>
      <c r="D30" s="6">
        <v>1</v>
      </c>
      <c r="E30" s="6">
        <v>0</v>
      </c>
      <c r="F30" s="6">
        <f>SUM(Sheet1!$C30:$F30)</f>
        <v>1</v>
      </c>
      <c r="G30" s="14">
        <f>Sheet1!$G30/4</f>
        <v>0.25</v>
      </c>
    </row>
    <row r="31" spans="1:18" x14ac:dyDescent="0.3">
      <c r="A31" s="10">
        <v>46100</v>
      </c>
      <c r="B31" s="8">
        <v>1</v>
      </c>
      <c r="C31" s="11">
        <v>1</v>
      </c>
      <c r="D31" s="11">
        <v>1</v>
      </c>
      <c r="E31" s="8">
        <v>1</v>
      </c>
      <c r="F31" s="8">
        <f>SUM(Sheet1!$C31:$F31)</f>
        <v>2</v>
      </c>
      <c r="G31" s="13">
        <f>Sheet1!$G31/4</f>
        <v>0.5</v>
      </c>
      <c r="L31" s="19" t="s">
        <v>0</v>
      </c>
      <c r="M31" s="19" t="s">
        <v>1</v>
      </c>
      <c r="N31" s="19" t="s">
        <v>2</v>
      </c>
      <c r="O31" s="19" t="s">
        <v>3</v>
      </c>
      <c r="P31" s="19" t="s">
        <v>4</v>
      </c>
      <c r="Q31" s="19" t="s">
        <v>5</v>
      </c>
      <c r="R31" s="20" t="s">
        <v>6</v>
      </c>
    </row>
    <row r="32" spans="1:18" x14ac:dyDescent="0.3">
      <c r="A32" s="10">
        <v>46101</v>
      </c>
      <c r="B32" s="6">
        <v>1</v>
      </c>
      <c r="C32" s="6">
        <v>1</v>
      </c>
      <c r="D32" s="6">
        <v>1</v>
      </c>
      <c r="E32" s="6">
        <v>1</v>
      </c>
      <c r="F32" s="6">
        <f>SUM(Sheet1!$C32:$F32)</f>
        <v>2</v>
      </c>
      <c r="G32" s="14">
        <f>Sheet1!$G32/4</f>
        <v>0.5</v>
      </c>
      <c r="L32" s="21">
        <v>46082</v>
      </c>
      <c r="M32" s="22">
        <v>0</v>
      </c>
      <c r="N32" s="23">
        <v>1</v>
      </c>
      <c r="O32" s="23">
        <v>1</v>
      </c>
      <c r="P32" s="22">
        <v>0</v>
      </c>
      <c r="Q32" s="24">
        <v>2</v>
      </c>
      <c r="R32" s="25">
        <v>0.5</v>
      </c>
    </row>
    <row r="33" spans="1:18" x14ac:dyDescent="0.3">
      <c r="A33" s="10">
        <v>46102</v>
      </c>
      <c r="B33" s="8">
        <v>1</v>
      </c>
      <c r="C33" s="11">
        <v>1</v>
      </c>
      <c r="D33" s="11">
        <v>1</v>
      </c>
      <c r="E33" s="8">
        <v>1</v>
      </c>
      <c r="F33" s="8">
        <f>SUM(Sheet1!$C33:$F33)</f>
        <v>0</v>
      </c>
      <c r="G33" s="13">
        <f>Sheet1!$G33/4</f>
        <v>0</v>
      </c>
      <c r="L33" s="21">
        <v>46083</v>
      </c>
      <c r="M33" s="26">
        <v>1</v>
      </c>
      <c r="N33" s="27">
        <v>0</v>
      </c>
      <c r="O33" s="26">
        <v>1</v>
      </c>
      <c r="P33" s="26">
        <v>1</v>
      </c>
      <c r="Q33" s="28">
        <v>3</v>
      </c>
      <c r="R33" s="29">
        <v>0.75</v>
      </c>
    </row>
    <row r="34" spans="1:18" x14ac:dyDescent="0.3">
      <c r="A34" s="10">
        <v>46103</v>
      </c>
      <c r="B34" s="6">
        <v>1</v>
      </c>
      <c r="C34" s="6">
        <v>1</v>
      </c>
      <c r="D34" s="6">
        <v>1</v>
      </c>
      <c r="E34" s="6">
        <v>1</v>
      </c>
      <c r="F34" s="6">
        <f>SUM(Sheet1!$C34:$F34)</f>
        <v>0</v>
      </c>
      <c r="G34" s="14">
        <f>Sheet1!$G34/4</f>
        <v>0</v>
      </c>
      <c r="L34" s="21">
        <v>46084</v>
      </c>
      <c r="M34" s="23">
        <v>1</v>
      </c>
      <c r="N34" s="23">
        <v>1</v>
      </c>
      <c r="O34" s="23">
        <v>1</v>
      </c>
      <c r="P34" s="23">
        <v>1</v>
      </c>
      <c r="Q34" s="30">
        <v>4</v>
      </c>
      <c r="R34" s="31">
        <v>1</v>
      </c>
    </row>
    <row r="35" spans="1:18" x14ac:dyDescent="0.3">
      <c r="A35" s="10">
        <v>46104</v>
      </c>
      <c r="B35" s="8">
        <v>0</v>
      </c>
      <c r="C35" s="11">
        <v>1</v>
      </c>
      <c r="D35" s="11">
        <v>1</v>
      </c>
      <c r="E35" s="8">
        <v>1</v>
      </c>
      <c r="F35" s="8">
        <f>SUM(Sheet1!$C35:$F35)</f>
        <v>0</v>
      </c>
      <c r="G35" s="13">
        <f>Sheet1!$G35/4</f>
        <v>0</v>
      </c>
      <c r="L35" s="21">
        <v>46085</v>
      </c>
      <c r="M35" s="27">
        <v>0</v>
      </c>
      <c r="N35" s="26">
        <v>1</v>
      </c>
      <c r="O35" s="26">
        <v>1</v>
      </c>
      <c r="P35" s="27">
        <v>0</v>
      </c>
      <c r="Q35" s="32">
        <v>2</v>
      </c>
      <c r="R35" s="33">
        <v>0.5</v>
      </c>
    </row>
    <row r="36" spans="1:18" x14ac:dyDescent="0.3">
      <c r="A36" s="10">
        <v>46105</v>
      </c>
      <c r="B36" s="6">
        <v>1</v>
      </c>
      <c r="C36" s="6">
        <v>0</v>
      </c>
      <c r="D36" s="6">
        <v>1</v>
      </c>
      <c r="E36" s="6">
        <v>1</v>
      </c>
      <c r="F36" s="6">
        <f>SUM(Sheet1!$C36:$F36)</f>
        <v>0</v>
      </c>
      <c r="G36" s="14">
        <f>Sheet1!$G36/4</f>
        <v>0</v>
      </c>
      <c r="L36" s="21">
        <v>46086</v>
      </c>
      <c r="M36" s="23">
        <v>1</v>
      </c>
      <c r="N36" s="23">
        <v>1</v>
      </c>
      <c r="O36" s="23">
        <v>1</v>
      </c>
      <c r="P36" s="23">
        <v>1</v>
      </c>
      <c r="Q36" s="30">
        <v>4</v>
      </c>
      <c r="R36" s="31">
        <v>1</v>
      </c>
    </row>
    <row r="37" spans="1:18" x14ac:dyDescent="0.3">
      <c r="A37" s="10">
        <v>46106</v>
      </c>
      <c r="B37" s="8">
        <v>0</v>
      </c>
      <c r="C37" s="11">
        <v>0</v>
      </c>
      <c r="D37" s="11">
        <v>1</v>
      </c>
      <c r="E37" s="8">
        <v>1</v>
      </c>
      <c r="F37" s="8">
        <f>SUM(Sheet1!$C37:$F37)</f>
        <v>0</v>
      </c>
      <c r="G37" s="13">
        <f>Sheet1!$G37/4</f>
        <v>0</v>
      </c>
      <c r="L37" s="21">
        <v>46087</v>
      </c>
      <c r="M37" s="27">
        <v>0</v>
      </c>
      <c r="N37" s="27">
        <v>0</v>
      </c>
      <c r="O37" s="26">
        <v>1</v>
      </c>
      <c r="P37" s="27">
        <v>0</v>
      </c>
      <c r="Q37" s="26">
        <v>1</v>
      </c>
      <c r="R37" s="34">
        <v>0.25</v>
      </c>
    </row>
    <row r="38" spans="1:18" x14ac:dyDescent="0.3">
      <c r="A38" s="10">
        <v>46107</v>
      </c>
      <c r="B38" s="6">
        <v>1</v>
      </c>
      <c r="C38" s="6">
        <v>1</v>
      </c>
      <c r="D38" s="6">
        <v>0</v>
      </c>
      <c r="E38" s="6">
        <v>0</v>
      </c>
      <c r="F38" s="6">
        <f>SUM(Sheet1!$C38:$F38)</f>
        <v>0</v>
      </c>
      <c r="G38" s="14">
        <f>Sheet1!$G38/4</f>
        <v>0</v>
      </c>
      <c r="L38" s="21">
        <v>46088</v>
      </c>
      <c r="M38" s="23">
        <v>1</v>
      </c>
      <c r="N38" s="22">
        <v>0</v>
      </c>
      <c r="O38" s="23">
        <v>1</v>
      </c>
      <c r="P38" s="23">
        <v>1</v>
      </c>
      <c r="Q38" s="35">
        <v>3</v>
      </c>
      <c r="R38" s="36">
        <v>0.75</v>
      </c>
    </row>
    <row r="39" spans="1:18" x14ac:dyDescent="0.3">
      <c r="A39" s="10">
        <v>46108</v>
      </c>
      <c r="B39" s="8">
        <v>1</v>
      </c>
      <c r="C39" s="11">
        <v>0</v>
      </c>
      <c r="D39" s="11">
        <v>1</v>
      </c>
      <c r="E39" s="8">
        <v>1</v>
      </c>
      <c r="F39" s="8">
        <f>SUM(Sheet1!$C39:$F39)</f>
        <v>0</v>
      </c>
      <c r="G39" s="13">
        <f>Sheet1!$G39/4</f>
        <v>0</v>
      </c>
      <c r="L39" s="21">
        <v>46089</v>
      </c>
      <c r="M39" s="26">
        <v>1</v>
      </c>
      <c r="N39" s="26">
        <v>1</v>
      </c>
      <c r="O39" s="27">
        <v>0</v>
      </c>
      <c r="P39" s="26">
        <v>1</v>
      </c>
      <c r="Q39" s="28">
        <v>3</v>
      </c>
      <c r="R39" s="29">
        <v>0.75</v>
      </c>
    </row>
    <row r="40" spans="1:18" x14ac:dyDescent="0.3">
      <c r="A40" s="10">
        <v>46109</v>
      </c>
      <c r="B40" s="6">
        <v>1</v>
      </c>
      <c r="C40" s="7">
        <v>1</v>
      </c>
      <c r="D40" s="7">
        <v>0</v>
      </c>
      <c r="E40" s="6">
        <v>1</v>
      </c>
      <c r="F40" s="6">
        <f>SUM(Sheet1!$C40:$F40)</f>
        <v>0</v>
      </c>
      <c r="G40" s="14">
        <f>Sheet1!$G40/4</f>
        <v>0</v>
      </c>
      <c r="L40" s="21">
        <v>46090</v>
      </c>
      <c r="M40" s="23">
        <v>1</v>
      </c>
      <c r="N40" s="22">
        <v>0</v>
      </c>
      <c r="O40" s="23">
        <v>1</v>
      </c>
      <c r="P40" s="23">
        <v>1</v>
      </c>
      <c r="Q40" s="35">
        <v>3</v>
      </c>
      <c r="R40" s="36">
        <v>0.75</v>
      </c>
    </row>
    <row r="41" spans="1:18" x14ac:dyDescent="0.3">
      <c r="A41" s="10">
        <v>46110</v>
      </c>
      <c r="B41" s="8">
        <v>0</v>
      </c>
      <c r="C41" s="8">
        <v>0</v>
      </c>
      <c r="D41" s="8">
        <v>1</v>
      </c>
      <c r="E41" s="8">
        <v>0</v>
      </c>
      <c r="F41" s="8">
        <f>SUM(Sheet1!$C41:$F41)</f>
        <v>0</v>
      </c>
      <c r="G41" s="13">
        <f>Sheet1!$G41/4</f>
        <v>0</v>
      </c>
      <c r="L41" s="21">
        <v>46091</v>
      </c>
      <c r="M41" s="26">
        <v>1</v>
      </c>
      <c r="N41" s="26">
        <v>1</v>
      </c>
      <c r="O41" s="26">
        <v>1</v>
      </c>
      <c r="P41" s="26">
        <v>1</v>
      </c>
      <c r="Q41" s="37">
        <v>4</v>
      </c>
      <c r="R41" s="38">
        <v>1</v>
      </c>
    </row>
    <row r="42" spans="1:18" x14ac:dyDescent="0.3">
      <c r="A42" s="10">
        <v>46111</v>
      </c>
      <c r="B42" s="6">
        <v>1</v>
      </c>
      <c r="C42" s="12">
        <v>0</v>
      </c>
      <c r="D42" s="12">
        <v>0</v>
      </c>
      <c r="E42" s="6">
        <v>1</v>
      </c>
      <c r="F42" s="6">
        <f>SUM(Sheet1!$C42:$F42)</f>
        <v>0</v>
      </c>
      <c r="G42" s="14">
        <f>Sheet1!$G42/4</f>
        <v>0</v>
      </c>
      <c r="L42" s="21">
        <v>46092</v>
      </c>
      <c r="M42" s="23">
        <v>1</v>
      </c>
      <c r="N42" s="22">
        <v>0</v>
      </c>
      <c r="O42" s="23">
        <v>1</v>
      </c>
      <c r="P42" s="23">
        <v>1</v>
      </c>
      <c r="Q42" s="35">
        <v>3</v>
      </c>
      <c r="R42" s="36">
        <v>0.75</v>
      </c>
    </row>
    <row r="43" spans="1:18" x14ac:dyDescent="0.3">
      <c r="A43" s="10">
        <v>46112</v>
      </c>
      <c r="B43" s="17">
        <v>0</v>
      </c>
      <c r="C43" s="17">
        <v>1</v>
      </c>
      <c r="D43" s="17">
        <v>1</v>
      </c>
      <c r="E43" s="17">
        <v>0</v>
      </c>
      <c r="F43" s="17">
        <f>SUM(Sheet1!$C43:$F43)</f>
        <v>0</v>
      </c>
      <c r="G43" s="18">
        <f>Sheet1!$G43/4</f>
        <v>0</v>
      </c>
      <c r="L43" s="21">
        <v>46093</v>
      </c>
      <c r="M43" s="27">
        <v>0</v>
      </c>
      <c r="N43" s="26">
        <v>1</v>
      </c>
      <c r="O43" s="26">
        <v>1</v>
      </c>
      <c r="P43" s="27">
        <v>0</v>
      </c>
      <c r="Q43" s="32">
        <v>2</v>
      </c>
      <c r="R43" s="33">
        <v>0.5</v>
      </c>
    </row>
    <row r="44" spans="1:18" x14ac:dyDescent="0.3">
      <c r="L44" s="21">
        <v>46094</v>
      </c>
      <c r="M44" s="23">
        <v>1</v>
      </c>
      <c r="N44" s="23">
        <v>1</v>
      </c>
      <c r="O44" s="23">
        <v>1</v>
      </c>
      <c r="P44" s="23">
        <v>1</v>
      </c>
      <c r="Q44" s="30">
        <v>4</v>
      </c>
      <c r="R44" s="31">
        <v>1</v>
      </c>
    </row>
    <row r="45" spans="1:18" x14ac:dyDescent="0.3">
      <c r="L45" s="21">
        <v>46095</v>
      </c>
      <c r="M45" s="27">
        <v>0</v>
      </c>
      <c r="N45" s="26">
        <v>1</v>
      </c>
      <c r="O45" s="26">
        <v>1</v>
      </c>
      <c r="P45" s="27">
        <v>0</v>
      </c>
      <c r="Q45" s="32">
        <v>2</v>
      </c>
      <c r="R45" s="33">
        <v>0.5</v>
      </c>
    </row>
    <row r="46" spans="1:18" x14ac:dyDescent="0.3">
      <c r="L46" s="21">
        <v>46096</v>
      </c>
      <c r="M46" s="22">
        <v>0</v>
      </c>
      <c r="N46" s="22">
        <v>0</v>
      </c>
      <c r="O46" s="23">
        <v>1</v>
      </c>
      <c r="P46" s="22">
        <v>0</v>
      </c>
      <c r="Q46" s="23">
        <v>1</v>
      </c>
      <c r="R46" s="39">
        <v>0.25</v>
      </c>
    </row>
    <row r="47" spans="1:18" x14ac:dyDescent="0.3">
      <c r="L47" s="21">
        <v>46097</v>
      </c>
      <c r="M47" s="27">
        <v>0</v>
      </c>
      <c r="N47" s="27">
        <v>0</v>
      </c>
      <c r="O47" s="26">
        <v>1</v>
      </c>
      <c r="P47" s="27">
        <v>0</v>
      </c>
      <c r="Q47" s="26">
        <v>1</v>
      </c>
      <c r="R47" s="34">
        <v>0.25</v>
      </c>
    </row>
    <row r="48" spans="1:18" x14ac:dyDescent="0.3">
      <c r="L48" s="21">
        <v>46098</v>
      </c>
      <c r="M48" s="23">
        <v>1</v>
      </c>
      <c r="N48" s="23">
        <v>1</v>
      </c>
      <c r="O48" s="22">
        <v>0</v>
      </c>
      <c r="P48" s="23">
        <v>1</v>
      </c>
      <c r="Q48" s="35">
        <v>3</v>
      </c>
      <c r="R48" s="36">
        <v>0.75</v>
      </c>
    </row>
    <row r="49" spans="12:18" x14ac:dyDescent="0.3">
      <c r="L49" s="21">
        <v>46099</v>
      </c>
      <c r="M49" s="27">
        <v>0</v>
      </c>
      <c r="N49" s="27">
        <v>0</v>
      </c>
      <c r="O49" s="26">
        <v>1</v>
      </c>
      <c r="P49" s="27">
        <v>0</v>
      </c>
      <c r="Q49" s="26">
        <v>1</v>
      </c>
      <c r="R49" s="34">
        <v>0.25</v>
      </c>
    </row>
    <row r="50" spans="12:18" x14ac:dyDescent="0.3">
      <c r="L50" s="21">
        <v>46100</v>
      </c>
      <c r="M50" s="23">
        <v>1</v>
      </c>
      <c r="N50" s="23">
        <v>1</v>
      </c>
      <c r="O50" s="23">
        <v>1</v>
      </c>
      <c r="P50" s="23">
        <v>1</v>
      </c>
      <c r="Q50" s="30">
        <v>4</v>
      </c>
      <c r="R50" s="31">
        <v>1</v>
      </c>
    </row>
    <row r="51" spans="12:18" x14ac:dyDescent="0.3">
      <c r="L51" s="21">
        <v>46101</v>
      </c>
      <c r="M51" s="26">
        <v>1</v>
      </c>
      <c r="N51" s="26">
        <v>1</v>
      </c>
      <c r="O51" s="26">
        <v>1</v>
      </c>
      <c r="P51" s="26">
        <v>1</v>
      </c>
      <c r="Q51" s="37">
        <v>4</v>
      </c>
      <c r="R51" s="38">
        <v>1</v>
      </c>
    </row>
    <row r="52" spans="12:18" x14ac:dyDescent="0.3">
      <c r="L52" s="21">
        <v>46102</v>
      </c>
      <c r="M52" s="23">
        <v>1</v>
      </c>
      <c r="N52" s="23">
        <v>1</v>
      </c>
      <c r="O52" s="23">
        <v>1</v>
      </c>
      <c r="P52" s="23">
        <v>1</v>
      </c>
      <c r="Q52" s="30">
        <v>4</v>
      </c>
      <c r="R52" s="31">
        <v>1</v>
      </c>
    </row>
    <row r="53" spans="12:18" x14ac:dyDescent="0.3">
      <c r="L53" s="21">
        <v>46103</v>
      </c>
      <c r="M53" s="26">
        <v>1</v>
      </c>
      <c r="N53" s="26">
        <v>1</v>
      </c>
      <c r="O53" s="26">
        <v>1</v>
      </c>
      <c r="P53" s="26">
        <v>1</v>
      </c>
      <c r="Q53" s="37">
        <v>4</v>
      </c>
      <c r="R53" s="38">
        <v>1</v>
      </c>
    </row>
    <row r="54" spans="12:18" x14ac:dyDescent="0.3">
      <c r="L54" s="21">
        <v>46104</v>
      </c>
      <c r="M54" s="22">
        <v>0</v>
      </c>
      <c r="N54" s="23">
        <v>1</v>
      </c>
      <c r="O54" s="23">
        <v>1</v>
      </c>
      <c r="P54" s="23">
        <v>1</v>
      </c>
      <c r="Q54" s="35">
        <v>3</v>
      </c>
      <c r="R54" s="36">
        <v>0.75</v>
      </c>
    </row>
    <row r="55" spans="12:18" x14ac:dyDescent="0.3">
      <c r="L55" s="21">
        <v>46105</v>
      </c>
      <c r="M55" s="26">
        <v>1</v>
      </c>
      <c r="N55" s="27">
        <v>0</v>
      </c>
      <c r="O55" s="26">
        <v>1</v>
      </c>
      <c r="P55" s="26">
        <v>1</v>
      </c>
      <c r="Q55" s="28">
        <v>3</v>
      </c>
      <c r="R55" s="29">
        <v>0.75</v>
      </c>
    </row>
    <row r="56" spans="12:18" x14ac:dyDescent="0.3">
      <c r="L56" s="21">
        <v>46106</v>
      </c>
      <c r="M56" s="22">
        <v>0</v>
      </c>
      <c r="N56" s="22">
        <v>0</v>
      </c>
      <c r="O56" s="23">
        <v>1</v>
      </c>
      <c r="P56" s="23">
        <v>1</v>
      </c>
      <c r="Q56" s="24">
        <v>2</v>
      </c>
      <c r="R56" s="25">
        <v>0.5</v>
      </c>
    </row>
    <row r="57" spans="12:18" x14ac:dyDescent="0.3">
      <c r="L57" s="21">
        <v>46107</v>
      </c>
      <c r="M57" s="26">
        <v>1</v>
      </c>
      <c r="N57" s="26">
        <v>1</v>
      </c>
      <c r="O57" s="27">
        <v>0</v>
      </c>
      <c r="P57" s="27">
        <v>0</v>
      </c>
      <c r="Q57" s="32">
        <v>2</v>
      </c>
      <c r="R57" s="33">
        <v>0.5</v>
      </c>
    </row>
    <row r="58" spans="12:18" x14ac:dyDescent="0.3">
      <c r="L58" s="21">
        <v>46108</v>
      </c>
      <c r="M58" s="23">
        <v>1</v>
      </c>
      <c r="N58" s="22">
        <v>0</v>
      </c>
      <c r="O58" s="23">
        <v>1</v>
      </c>
      <c r="P58" s="23">
        <v>1</v>
      </c>
      <c r="Q58" s="35">
        <v>3</v>
      </c>
      <c r="R58" s="36">
        <v>0.75</v>
      </c>
    </row>
    <row r="59" spans="12:18" x14ac:dyDescent="0.3">
      <c r="L59" s="21">
        <v>46109</v>
      </c>
      <c r="M59" s="26">
        <v>1</v>
      </c>
      <c r="N59" s="23">
        <v>1</v>
      </c>
      <c r="O59" s="22">
        <v>0</v>
      </c>
      <c r="P59" s="26">
        <v>1</v>
      </c>
      <c r="Q59" s="28">
        <v>3</v>
      </c>
      <c r="R59" s="29">
        <v>0.75</v>
      </c>
    </row>
    <row r="60" spans="12:18" x14ac:dyDescent="0.3">
      <c r="L60" s="21">
        <v>46110</v>
      </c>
      <c r="M60" s="22">
        <v>0</v>
      </c>
      <c r="N60" s="22">
        <v>0</v>
      </c>
      <c r="O60" s="23">
        <v>1</v>
      </c>
      <c r="P60" s="22">
        <v>0</v>
      </c>
      <c r="Q60" s="23">
        <v>1</v>
      </c>
      <c r="R60" s="39">
        <v>0.25</v>
      </c>
    </row>
    <row r="61" spans="12:18" x14ac:dyDescent="0.3">
      <c r="L61" s="21">
        <v>46111</v>
      </c>
      <c r="M61" s="26">
        <v>1</v>
      </c>
      <c r="N61" s="40">
        <v>0</v>
      </c>
      <c r="O61" s="40">
        <v>0</v>
      </c>
      <c r="P61" s="26">
        <v>1</v>
      </c>
      <c r="Q61" s="32">
        <v>2</v>
      </c>
      <c r="R61" s="33">
        <v>0.5</v>
      </c>
    </row>
    <row r="62" spans="12:18" x14ac:dyDescent="0.3">
      <c r="L62" s="21">
        <v>46112</v>
      </c>
      <c r="M62" s="22">
        <v>0</v>
      </c>
      <c r="N62" s="23">
        <v>1</v>
      </c>
      <c r="O62" s="23">
        <v>1</v>
      </c>
      <c r="P62" s="22">
        <v>0</v>
      </c>
      <c r="Q62" s="24">
        <v>2</v>
      </c>
      <c r="R62" s="25">
        <v>0.5</v>
      </c>
    </row>
  </sheetData>
  <conditionalFormatting sqref="B13:G4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:G43">
    <cfRule type="colorScale" priority="1">
      <colorScale>
        <cfvo type="percent" val="0"/>
        <cfvo type="percent" val="100"/>
        <color rgb="FFFF505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2026-02-19T15:56:34Z</dcterms:created>
  <dcterms:modified xsi:type="dcterms:W3CDTF">2026-02-20T08:56:25Z</dcterms:modified>
</cp:coreProperties>
</file>